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clope\Documents\R\diplo-modulo8-equipo3\datos\"/>
    </mc:Choice>
  </mc:AlternateContent>
  <xr:revisionPtr revIDLastSave="0" documentId="8_{ECDEFB7D-D85A-4449-9076-329E4C8CA51B}" xr6:coauthVersionLast="47" xr6:coauthVersionMax="47" xr10:uidLastSave="{00000000-0000-0000-0000-000000000000}"/>
  <bookViews>
    <workbookView xWindow="-108" yWindow="-108" windowWidth="23256" windowHeight="13176" xr2:uid="{75789135-4079-4357-8743-26824C7481A2}"/>
  </bookViews>
  <sheets>
    <sheet name="compil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2" i="1"/>
</calcChain>
</file>

<file path=xl/sharedStrings.xml><?xml version="1.0" encoding="utf-8"?>
<sst xmlns="http://schemas.openxmlformats.org/spreadsheetml/2006/main" count="129" uniqueCount="129">
  <si>
    <t>id_unica</t>
  </si>
  <si>
    <t>clave_pais</t>
  </si>
  <si>
    <t>pais</t>
  </si>
  <si>
    <t>camas</t>
  </si>
  <si>
    <t>medicos</t>
  </si>
  <si>
    <t>poblacion</t>
  </si>
  <si>
    <t>mort_fem</t>
  </si>
  <si>
    <t>mort_mas</t>
  </si>
  <si>
    <t>CAN2019</t>
  </si>
  <si>
    <t>CAN</t>
  </si>
  <si>
    <t>Canada</t>
  </si>
  <si>
    <t>CHE2019</t>
  </si>
  <si>
    <t>CHE</t>
  </si>
  <si>
    <t>Switzerland</t>
  </si>
  <si>
    <t>SVK2019</t>
  </si>
  <si>
    <t>SVK</t>
  </si>
  <si>
    <t>Slovak Republic</t>
  </si>
  <si>
    <t>SVN2019</t>
  </si>
  <si>
    <t>SVN</t>
  </si>
  <si>
    <t>Slovenia</t>
  </si>
  <si>
    <t>NLD2019</t>
  </si>
  <si>
    <t>NLD</t>
  </si>
  <si>
    <t>Netherlands</t>
  </si>
  <si>
    <t>JPN2019</t>
  </si>
  <si>
    <t>JPN</t>
  </si>
  <si>
    <t>Japan</t>
  </si>
  <si>
    <t>LVA2019</t>
  </si>
  <si>
    <t>LVA</t>
  </si>
  <si>
    <t>Latvia</t>
  </si>
  <si>
    <t>LUX2019</t>
  </si>
  <si>
    <t>LUX</t>
  </si>
  <si>
    <t>Luxembourg</t>
  </si>
  <si>
    <t>DNK2019</t>
  </si>
  <si>
    <t>DNK</t>
  </si>
  <si>
    <t>Denmark</t>
  </si>
  <si>
    <t>EST2019</t>
  </si>
  <si>
    <t>EST</t>
  </si>
  <si>
    <t>Estonia</t>
  </si>
  <si>
    <t>FIN2019</t>
  </si>
  <si>
    <t>FIN</t>
  </si>
  <si>
    <t>Finland</t>
  </si>
  <si>
    <t>FRA2019</t>
  </si>
  <si>
    <t>FRA</t>
  </si>
  <si>
    <t>France</t>
  </si>
  <si>
    <t>GEO2019</t>
  </si>
  <si>
    <t>GEO</t>
  </si>
  <si>
    <t>Georgia</t>
  </si>
  <si>
    <t>GRC2019</t>
  </si>
  <si>
    <t>GRC</t>
  </si>
  <si>
    <t>Greece</t>
  </si>
  <si>
    <t>GTM2019</t>
  </si>
  <si>
    <t>GTM</t>
  </si>
  <si>
    <t>Guatemala</t>
  </si>
  <si>
    <t>ESP2019</t>
  </si>
  <si>
    <t>ESP</t>
  </si>
  <si>
    <t>Spain</t>
  </si>
  <si>
    <t>GBR2019</t>
  </si>
  <si>
    <t>GBR</t>
  </si>
  <si>
    <t>United Kingdom</t>
  </si>
  <si>
    <t>USA2019</t>
  </si>
  <si>
    <t>USA</t>
  </si>
  <si>
    <t>United States</t>
  </si>
  <si>
    <t>KGZ2019</t>
  </si>
  <si>
    <t>KGZ</t>
  </si>
  <si>
    <t>Kyrgyz Republic</t>
  </si>
  <si>
    <t>ISL2019</t>
  </si>
  <si>
    <t>ISL</t>
  </si>
  <si>
    <t>Iceland</t>
  </si>
  <si>
    <t>ISR2019</t>
  </si>
  <si>
    <t>ISR</t>
  </si>
  <si>
    <t>Israel</t>
  </si>
  <si>
    <t>ZAF2019</t>
  </si>
  <si>
    <t>ZAF</t>
  </si>
  <si>
    <t>South Africa</t>
  </si>
  <si>
    <t>PRT2019</t>
  </si>
  <si>
    <t>PRT</t>
  </si>
  <si>
    <t>Portugal</t>
  </si>
  <si>
    <t>THA2019</t>
  </si>
  <si>
    <t>THA</t>
  </si>
  <si>
    <t>Thailand</t>
  </si>
  <si>
    <t>TUR2019</t>
  </si>
  <si>
    <t>TUR</t>
  </si>
  <si>
    <t>Turkiye</t>
  </si>
  <si>
    <t>HRV2019</t>
  </si>
  <si>
    <t>HRV</t>
  </si>
  <si>
    <t>Croatia</t>
  </si>
  <si>
    <t>AUT2019</t>
  </si>
  <si>
    <t>AUT</t>
  </si>
  <si>
    <t>Austria</t>
  </si>
  <si>
    <t>UZB2019</t>
  </si>
  <si>
    <t>UZB</t>
  </si>
  <si>
    <t>Uzbekistan</t>
  </si>
  <si>
    <t>MNG2019</t>
  </si>
  <si>
    <t>MNG</t>
  </si>
  <si>
    <t>Mongolia</t>
  </si>
  <si>
    <t>HUN2019</t>
  </si>
  <si>
    <t>HUN</t>
  </si>
  <si>
    <t>Hungary</t>
  </si>
  <si>
    <t>IDN2019</t>
  </si>
  <si>
    <t>IDN</t>
  </si>
  <si>
    <t>Indonesia</t>
  </si>
  <si>
    <t>IRL2019</t>
  </si>
  <si>
    <t>IRL</t>
  </si>
  <si>
    <t>Ireland</t>
  </si>
  <si>
    <t>AUS2019</t>
  </si>
  <si>
    <t>AUS</t>
  </si>
  <si>
    <t>Australia</t>
  </si>
  <si>
    <t>NZL2019</t>
  </si>
  <si>
    <t>NZL</t>
  </si>
  <si>
    <t>New Zealand</t>
  </si>
  <si>
    <t>ROU2019</t>
  </si>
  <si>
    <t>ROU</t>
  </si>
  <si>
    <t>Romania</t>
  </si>
  <si>
    <t>SLV2019</t>
  </si>
  <si>
    <t>SLV</t>
  </si>
  <si>
    <t>El Salvador</t>
  </si>
  <si>
    <t>SGP2019</t>
  </si>
  <si>
    <t>SGP</t>
  </si>
  <si>
    <t>Singapore</t>
  </si>
  <si>
    <t>SWE2019</t>
  </si>
  <si>
    <t>SWE</t>
  </si>
  <si>
    <t>Sweden</t>
  </si>
  <si>
    <t>ITA2019</t>
  </si>
  <si>
    <t>ITA</t>
  </si>
  <si>
    <t>Italy</t>
  </si>
  <si>
    <t>periodo</t>
  </si>
  <si>
    <t>pib</t>
  </si>
  <si>
    <t>ga_salud_per</t>
  </si>
  <si>
    <t>gasto_salud_por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</si>
</sst>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43" fontId="0" fillId="0" borderId="0" xfId="1" quotePrefix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17849-0E8A-491D-BE60-B5FFBBE182B6}">
  <dimension ref="A1:L40"/>
  <sheetViews>
    <sheetView tabSelected="1" workbookViewId="0">
      <selection activeCell="D19" sqref="D19"/>
    </sheetView>
  </sheetViews>
  <sheetFormatPr baseColWidth="10" defaultRowHeight="14.4" x14ac:dyDescent="0.3"/>
  <cols>
    <col min="5" max="6" width="11.5546875" style="1"/>
  </cols>
  <sheetData>
    <row r="1" spans="1:12" x14ac:dyDescent="0.3">
      <c r="A1" t="s">
        <v>0</v>
      </c>
      <c r="B1" t="s">
        <v>1</v>
      </c>
      <c r="C1" t="s">
        <v>2</v>
      </c>
      <c r="D1" t="s">
        <v>125</v>
      </c>
      <c r="E1" s="1" t="s">
        <v>3</v>
      </c>
      <c r="F1" s="1" t="s">
        <v>4</v>
      </c>
      <c r="G1" t="s">
        <v>5</v>
      </c>
      <c r="H1" t="s">
        <v>128</v>
      </c>
      <c r="I1" t="s">
        <v>6</v>
      </c>
      <c r="J1" t="s">
        <v>7</v>
      </c>
      <c r="K1" t="s">
        <v>126</v>
      </c>
      <c r="L1" t="s">
        <v>127</v>
      </c>
    </row>
    <row r="2" spans="1:12" x14ac:dyDescent="0.3">
      <c r="A2" t="s">
        <v>77</v>
      </c>
      <c r="B2" t="s">
        <v>78</v>
      </c>
      <c r="C2" t="s">
        <v>79</v>
      </c>
      <c r="D2">
        <v>2019</v>
      </c>
      <c r="E2" s="1">
        <v>21</v>
      </c>
      <c r="F2" s="1">
        <v>0.89700000000000002</v>
      </c>
      <c r="G2">
        <v>71522271</v>
      </c>
      <c r="H2">
        <v>1.29721139939034</v>
      </c>
      <c r="I2">
        <v>72.546999999999997</v>
      </c>
      <c r="J2">
        <v>178.684</v>
      </c>
      <c r="K2">
        <v>7812.89</v>
      </c>
      <c r="L2">
        <f>K2*H2/100</f>
        <v>101.34969970182794</v>
      </c>
    </row>
    <row r="3" spans="1:12" x14ac:dyDescent="0.3">
      <c r="A3" t="s">
        <v>98</v>
      </c>
      <c r="B3" t="s">
        <v>99</v>
      </c>
      <c r="C3" t="s">
        <v>100</v>
      </c>
      <c r="D3">
        <v>2019</v>
      </c>
      <c r="E3" s="1">
        <v>9.9</v>
      </c>
      <c r="F3" s="1">
        <v>0.46700000000000003</v>
      </c>
      <c r="G3">
        <v>272489381</v>
      </c>
      <c r="H3">
        <v>1.47977361511029</v>
      </c>
      <c r="I3">
        <v>142.27600000000001</v>
      </c>
      <c r="J3">
        <v>192.87299999999999</v>
      </c>
      <c r="K3">
        <v>4192.7700000000004</v>
      </c>
      <c r="L3">
        <f t="shared" ref="L3:L40" si="0">K3*H3/100</f>
        <v>62.043504202259712</v>
      </c>
    </row>
    <row r="4" spans="1:12" x14ac:dyDescent="0.3">
      <c r="A4" t="s">
        <v>11</v>
      </c>
      <c r="B4" t="s">
        <v>12</v>
      </c>
      <c r="C4" t="s">
        <v>13</v>
      </c>
      <c r="D4">
        <v>2019</v>
      </c>
      <c r="E4" s="2">
        <v>46.9</v>
      </c>
      <c r="F4" s="1">
        <v>4.3499999999999996</v>
      </c>
      <c r="G4">
        <v>8575280</v>
      </c>
      <c r="H4">
        <v>2.1771665712647801</v>
      </c>
      <c r="I4">
        <v>32.207000000000001</v>
      </c>
      <c r="J4">
        <v>54.625999999999998</v>
      </c>
      <c r="K4">
        <v>84474.29</v>
      </c>
      <c r="L4">
        <f t="shared" si="0"/>
        <v>1839.1460031932668</v>
      </c>
    </row>
    <row r="5" spans="1:12" x14ac:dyDescent="0.3">
      <c r="A5" t="s">
        <v>116</v>
      </c>
      <c r="B5" t="s">
        <v>117</v>
      </c>
      <c r="C5" t="s">
        <v>118</v>
      </c>
      <c r="D5">
        <v>2019</v>
      </c>
      <c r="E5" s="1">
        <v>24.8</v>
      </c>
      <c r="F5" s="1">
        <v>2.4340000000000002</v>
      </c>
      <c r="G5">
        <v>5703569</v>
      </c>
      <c r="H5">
        <v>2.19858493299082</v>
      </c>
      <c r="I5">
        <v>31.748000000000001</v>
      </c>
      <c r="J5">
        <v>56.933</v>
      </c>
      <c r="K5">
        <v>66081.7</v>
      </c>
      <c r="L5">
        <f t="shared" si="0"/>
        <v>1452.8622996641946</v>
      </c>
    </row>
    <row r="6" spans="1:12" x14ac:dyDescent="0.3">
      <c r="A6" t="s">
        <v>92</v>
      </c>
      <c r="B6" t="s">
        <v>93</v>
      </c>
      <c r="C6" t="s">
        <v>94</v>
      </c>
      <c r="D6">
        <v>2019</v>
      </c>
      <c r="E6" s="1">
        <v>70</v>
      </c>
      <c r="F6" s="1">
        <v>3.6469999999999998</v>
      </c>
      <c r="G6">
        <v>3267673</v>
      </c>
      <c r="H6">
        <v>2.2394521197685502</v>
      </c>
      <c r="I6">
        <v>99.141999999999996</v>
      </c>
      <c r="J6">
        <v>254.99</v>
      </c>
      <c r="K6">
        <v>4309.05</v>
      </c>
      <c r="L6">
        <f t="shared" si="0"/>
        <v>96.499111566886711</v>
      </c>
    </row>
    <row r="7" spans="1:12" x14ac:dyDescent="0.3">
      <c r="A7" t="s">
        <v>50</v>
      </c>
      <c r="B7" t="s">
        <v>51</v>
      </c>
      <c r="C7" t="s">
        <v>52</v>
      </c>
      <c r="D7">
        <v>2019</v>
      </c>
      <c r="E7" s="1">
        <v>2.6</v>
      </c>
      <c r="F7" s="1" t="e">
        <v>#N/A</v>
      </c>
      <c r="G7">
        <v>17103803</v>
      </c>
      <c r="H7">
        <v>2.2461349800618602</v>
      </c>
      <c r="I7">
        <v>125.804</v>
      </c>
      <c r="J7">
        <v>210.31100000000001</v>
      </c>
      <c r="K7">
        <v>4388.5</v>
      </c>
      <c r="L7">
        <f t="shared" si="0"/>
        <v>98.571633600014735</v>
      </c>
    </row>
    <row r="8" spans="1:12" x14ac:dyDescent="0.3">
      <c r="A8" t="s">
        <v>89</v>
      </c>
      <c r="B8" t="s">
        <v>90</v>
      </c>
      <c r="C8" t="s">
        <v>91</v>
      </c>
      <c r="D8">
        <v>2019</v>
      </c>
      <c r="E8" s="1">
        <v>39.799999999999997</v>
      </c>
      <c r="F8" s="1">
        <v>2.7879999999999998</v>
      </c>
      <c r="G8">
        <v>32964701</v>
      </c>
      <c r="H8">
        <v>2.41984095078733</v>
      </c>
      <c r="I8">
        <v>116.27200000000001</v>
      </c>
      <c r="J8">
        <v>198.13</v>
      </c>
      <c r="K8">
        <v>1812.74</v>
      </c>
      <c r="L8">
        <f t="shared" si="0"/>
        <v>43.865424851302244</v>
      </c>
    </row>
    <row r="9" spans="1:12" x14ac:dyDescent="0.3">
      <c r="A9" t="s">
        <v>44</v>
      </c>
      <c r="B9" t="s">
        <v>45</v>
      </c>
      <c r="C9" t="s">
        <v>46</v>
      </c>
      <c r="D9">
        <v>2019</v>
      </c>
      <c r="E9" s="1">
        <v>28.9</v>
      </c>
      <c r="F9" s="1">
        <v>7.5030000000000001</v>
      </c>
      <c r="G9">
        <v>3720161</v>
      </c>
      <c r="H9">
        <v>2.6959585397533399</v>
      </c>
      <c r="I9">
        <v>70.680999999999997</v>
      </c>
      <c r="J9">
        <v>221.68700000000001</v>
      </c>
      <c r="K9">
        <v>4738.8</v>
      </c>
      <c r="L9">
        <f t="shared" si="0"/>
        <v>127.75608328183127</v>
      </c>
    </row>
    <row r="10" spans="1:12" x14ac:dyDescent="0.3">
      <c r="A10" t="s">
        <v>62</v>
      </c>
      <c r="B10" t="s">
        <v>63</v>
      </c>
      <c r="C10" t="s">
        <v>64</v>
      </c>
      <c r="D10">
        <v>2019</v>
      </c>
      <c r="E10" s="1">
        <v>44.1</v>
      </c>
      <c r="F10" s="1">
        <v>2.1680000000000001</v>
      </c>
      <c r="G10">
        <v>6590211</v>
      </c>
      <c r="H10">
        <v>2.83086692786345</v>
      </c>
      <c r="I10">
        <v>99.337000000000003</v>
      </c>
      <c r="J10">
        <v>245.786</v>
      </c>
      <c r="K10">
        <v>1466.96</v>
      </c>
      <c r="L10">
        <f t="shared" si="0"/>
        <v>41.527685484985668</v>
      </c>
    </row>
    <row r="11" spans="1:12" x14ac:dyDescent="0.3">
      <c r="A11" t="s">
        <v>113</v>
      </c>
      <c r="B11" t="s">
        <v>114</v>
      </c>
      <c r="C11" t="s">
        <v>115</v>
      </c>
      <c r="D11">
        <v>2019</v>
      </c>
      <c r="E11" s="1">
        <v>10.6</v>
      </c>
      <c r="F11" s="1" t="e">
        <v>#N/A</v>
      </c>
      <c r="G11">
        <v>6222318</v>
      </c>
      <c r="H11">
        <v>4.0124801301135804</v>
      </c>
      <c r="I11">
        <v>110.30200000000001</v>
      </c>
      <c r="J11">
        <v>270.55700000000002</v>
      </c>
      <c r="K11">
        <v>4280.3</v>
      </c>
      <c r="L11">
        <f t="shared" si="0"/>
        <v>171.7461870092516</v>
      </c>
    </row>
    <row r="12" spans="1:12" x14ac:dyDescent="0.3">
      <c r="A12" t="s">
        <v>26</v>
      </c>
      <c r="B12" t="s">
        <v>27</v>
      </c>
      <c r="C12" t="s">
        <v>28</v>
      </c>
      <c r="D12">
        <v>2019</v>
      </c>
      <c r="E12" s="1">
        <v>57.2</v>
      </c>
      <c r="F12" s="1">
        <v>3.2629999999999999</v>
      </c>
      <c r="G12">
        <v>1913822</v>
      </c>
      <c r="H12">
        <v>4.1781227524450504</v>
      </c>
      <c r="I12">
        <v>84.503</v>
      </c>
      <c r="J12">
        <v>210.61</v>
      </c>
      <c r="K12">
        <v>17828.07</v>
      </c>
      <c r="L12">
        <f t="shared" si="0"/>
        <v>744.87864899183023</v>
      </c>
    </row>
    <row r="13" spans="1:12" x14ac:dyDescent="0.3">
      <c r="A13" t="s">
        <v>95</v>
      </c>
      <c r="B13" t="s">
        <v>96</v>
      </c>
      <c r="C13" t="s">
        <v>97</v>
      </c>
      <c r="D13">
        <v>2019</v>
      </c>
      <c r="E13" s="1">
        <v>70</v>
      </c>
      <c r="F13" s="1">
        <v>3.4929999999999999</v>
      </c>
      <c r="G13">
        <v>9694824</v>
      </c>
      <c r="H13">
        <v>4.53203113877957</v>
      </c>
      <c r="I13">
        <v>75.171999999999997</v>
      </c>
      <c r="J13">
        <v>159.172</v>
      </c>
      <c r="K13">
        <v>16782.009999999998</v>
      </c>
      <c r="L13">
        <f t="shared" si="0"/>
        <v>760.5659189131012</v>
      </c>
    </row>
    <row r="14" spans="1:12" x14ac:dyDescent="0.3">
      <c r="A14" t="s">
        <v>101</v>
      </c>
      <c r="B14" t="s">
        <v>102</v>
      </c>
      <c r="C14" t="s">
        <v>103</v>
      </c>
      <c r="D14">
        <v>2019</v>
      </c>
      <c r="E14" s="1">
        <v>29.6</v>
      </c>
      <c r="F14" s="1">
        <v>3.343</v>
      </c>
      <c r="G14">
        <v>4976456</v>
      </c>
      <c r="H14">
        <v>4.7852148267046797</v>
      </c>
      <c r="I14">
        <v>42.363999999999997</v>
      </c>
      <c r="J14">
        <v>71.605000000000004</v>
      </c>
      <c r="K14">
        <v>80608.83</v>
      </c>
      <c r="L14">
        <f t="shared" si="0"/>
        <v>3857.3056847931703</v>
      </c>
    </row>
    <row r="15" spans="1:12" x14ac:dyDescent="0.3">
      <c r="A15" t="s">
        <v>71</v>
      </c>
      <c r="B15" t="s">
        <v>72</v>
      </c>
      <c r="C15" t="s">
        <v>73</v>
      </c>
      <c r="D15">
        <v>2019</v>
      </c>
      <c r="E15" s="1">
        <v>23</v>
      </c>
      <c r="F15" s="1">
        <v>0.79900000000000004</v>
      </c>
      <c r="G15">
        <v>59587885</v>
      </c>
      <c r="H15">
        <v>4.8808525624034802</v>
      </c>
      <c r="I15">
        <v>236.101</v>
      </c>
      <c r="J15">
        <v>341.83600000000001</v>
      </c>
      <c r="K15">
        <v>6622.63</v>
      </c>
      <c r="L15">
        <f t="shared" si="0"/>
        <v>323.24080605350161</v>
      </c>
    </row>
    <row r="16" spans="1:12" x14ac:dyDescent="0.3">
      <c r="A16" t="s">
        <v>110</v>
      </c>
      <c r="B16" t="s">
        <v>111</v>
      </c>
      <c r="C16" t="s">
        <v>112</v>
      </c>
      <c r="D16">
        <v>2019</v>
      </c>
      <c r="E16" s="1">
        <v>68.400000000000006</v>
      </c>
      <c r="F16" s="1">
        <v>3.1619999999999999</v>
      </c>
      <c r="G16">
        <v>19371648</v>
      </c>
      <c r="H16">
        <v>4.97975831048588</v>
      </c>
      <c r="I16">
        <v>58.683</v>
      </c>
      <c r="J16">
        <v>155.262</v>
      </c>
      <c r="K16">
        <v>12928.15</v>
      </c>
      <c r="L16">
        <f t="shared" si="0"/>
        <v>643.79062401708029</v>
      </c>
    </row>
    <row r="17" spans="1:12" x14ac:dyDescent="0.3">
      <c r="A17" t="s">
        <v>29</v>
      </c>
      <c r="B17" t="s">
        <v>30</v>
      </c>
      <c r="C17" t="s">
        <v>31</v>
      </c>
      <c r="D17">
        <v>2019</v>
      </c>
      <c r="E17" s="1">
        <v>46.6</v>
      </c>
      <c r="F17" s="1" t="e">
        <v>#N/A</v>
      </c>
      <c r="G17">
        <v>620001</v>
      </c>
      <c r="H17">
        <v>5.1781808862513303</v>
      </c>
      <c r="I17">
        <v>38.902000000000001</v>
      </c>
      <c r="J17">
        <v>66.111999999999995</v>
      </c>
      <c r="K17">
        <v>113860.35</v>
      </c>
      <c r="L17">
        <f t="shared" si="0"/>
        <v>5895.8948807188672</v>
      </c>
    </row>
    <row r="18" spans="1:12" x14ac:dyDescent="0.3">
      <c r="A18" t="s">
        <v>68</v>
      </c>
      <c r="B18" t="s">
        <v>69</v>
      </c>
      <c r="C18" t="s">
        <v>70</v>
      </c>
      <c r="D18">
        <v>2019</v>
      </c>
      <c r="E18" s="1">
        <v>29.9</v>
      </c>
      <c r="F18" s="1">
        <v>3.5419999999999998</v>
      </c>
      <c r="G18">
        <v>9054000</v>
      </c>
      <c r="H18">
        <v>5.2037878830426596</v>
      </c>
      <c r="I18">
        <v>0</v>
      </c>
      <c r="J18">
        <v>0</v>
      </c>
      <c r="K18">
        <v>44155.45</v>
      </c>
      <c r="L18">
        <f t="shared" si="0"/>
        <v>2297.7559568029596</v>
      </c>
    </row>
    <row r="19" spans="1:12" x14ac:dyDescent="0.3">
      <c r="A19" t="s">
        <v>80</v>
      </c>
      <c r="B19" t="s">
        <v>81</v>
      </c>
      <c r="C19" t="s">
        <v>82</v>
      </c>
      <c r="D19">
        <v>2019</v>
      </c>
      <c r="E19" s="1">
        <v>27.5</v>
      </c>
      <c r="F19" s="1">
        <v>1.9259999999999999</v>
      </c>
      <c r="G19">
        <v>82579440</v>
      </c>
      <c r="H19">
        <v>5.5138404818989901</v>
      </c>
      <c r="I19">
        <v>48.280999999999999</v>
      </c>
      <c r="J19">
        <v>110.797</v>
      </c>
      <c r="K19">
        <v>9145.82</v>
      </c>
      <c r="L19">
        <f t="shared" si="0"/>
        <v>504.28592556161419</v>
      </c>
    </row>
    <row r="20" spans="1:12" x14ac:dyDescent="0.3">
      <c r="A20" t="s">
        <v>35</v>
      </c>
      <c r="B20" t="s">
        <v>36</v>
      </c>
      <c r="C20" t="s">
        <v>37</v>
      </c>
      <c r="D20">
        <v>2019</v>
      </c>
      <c r="E20" s="1">
        <v>47.6</v>
      </c>
      <c r="F20" s="1">
        <v>3.4689999999999999</v>
      </c>
      <c r="G20">
        <v>1326898</v>
      </c>
      <c r="H20">
        <v>5.5440315874580204</v>
      </c>
      <c r="I20">
        <v>58.201999999999998</v>
      </c>
      <c r="J20">
        <v>147.03800000000001</v>
      </c>
      <c r="K20">
        <v>23584.26</v>
      </c>
      <c r="L20">
        <f t="shared" si="0"/>
        <v>1307.5188240682269</v>
      </c>
    </row>
    <row r="21" spans="1:12" x14ac:dyDescent="0.3">
      <c r="A21" t="s">
        <v>14</v>
      </c>
      <c r="B21" t="s">
        <v>15</v>
      </c>
      <c r="C21" t="s">
        <v>16</v>
      </c>
      <c r="D21">
        <v>2019</v>
      </c>
      <c r="E21" s="1">
        <v>57.8</v>
      </c>
      <c r="F21" s="1">
        <v>3.5670000000000002</v>
      </c>
      <c r="G21">
        <v>5454147</v>
      </c>
      <c r="H21">
        <v>5.7379870951617997</v>
      </c>
      <c r="I21">
        <v>61.628999999999998</v>
      </c>
      <c r="J21">
        <v>140.37100000000001</v>
      </c>
      <c r="K21">
        <v>19397.27</v>
      </c>
      <c r="L21">
        <f t="shared" si="0"/>
        <v>1113.0128494136914</v>
      </c>
    </row>
    <row r="22" spans="1:12" x14ac:dyDescent="0.3">
      <c r="A22" t="s">
        <v>47</v>
      </c>
      <c r="B22" t="s">
        <v>48</v>
      </c>
      <c r="C22" t="s">
        <v>49</v>
      </c>
      <c r="D22">
        <v>2019</v>
      </c>
      <c r="E22" s="1">
        <v>42</v>
      </c>
      <c r="F22" s="1">
        <v>6.2469999999999999</v>
      </c>
      <c r="G22">
        <v>10721582</v>
      </c>
      <c r="H22">
        <v>5.7519223070520802</v>
      </c>
      <c r="I22">
        <v>36.723999999999997</v>
      </c>
      <c r="J22">
        <v>86.394999999999996</v>
      </c>
      <c r="K22">
        <v>19140.61</v>
      </c>
      <c r="L22">
        <f t="shared" si="0"/>
        <v>1100.9530162958413</v>
      </c>
    </row>
    <row r="23" spans="1:12" x14ac:dyDescent="0.3">
      <c r="A23" t="s">
        <v>53</v>
      </c>
      <c r="B23" t="s">
        <v>54</v>
      </c>
      <c r="C23" t="s">
        <v>55</v>
      </c>
      <c r="D23">
        <v>2019</v>
      </c>
      <c r="E23" s="2">
        <v>29.7</v>
      </c>
      <c r="F23" s="1">
        <v>4.4039999999999999</v>
      </c>
      <c r="G23">
        <v>47118501</v>
      </c>
      <c r="H23">
        <v>5.9834782936830004</v>
      </c>
      <c r="I23">
        <v>35.753999999999998</v>
      </c>
      <c r="J23">
        <v>69.622</v>
      </c>
      <c r="K23">
        <v>29603.3</v>
      </c>
      <c r="L23">
        <f t="shared" si="0"/>
        <v>1771.3070297138597</v>
      </c>
    </row>
    <row r="24" spans="1:12" x14ac:dyDescent="0.3">
      <c r="A24" t="s">
        <v>74</v>
      </c>
      <c r="B24" t="s">
        <v>75</v>
      </c>
      <c r="C24" t="s">
        <v>76</v>
      </c>
      <c r="D24">
        <v>2019</v>
      </c>
      <c r="E24" s="1">
        <v>33.9</v>
      </c>
      <c r="F24" s="1">
        <v>5.45</v>
      </c>
      <c r="G24">
        <v>10286263</v>
      </c>
      <c r="H24">
        <v>6.4909501914171797</v>
      </c>
      <c r="I24">
        <v>43.935000000000002</v>
      </c>
      <c r="J24">
        <v>95.704999999999998</v>
      </c>
      <c r="K24">
        <v>23333.32</v>
      </c>
      <c r="L24">
        <f t="shared" si="0"/>
        <v>1514.554179203983</v>
      </c>
    </row>
    <row r="25" spans="1:12" x14ac:dyDescent="0.3">
      <c r="A25" t="s">
        <v>107</v>
      </c>
      <c r="B25" t="s">
        <v>108</v>
      </c>
      <c r="C25" t="s">
        <v>109</v>
      </c>
      <c r="D25">
        <v>2019</v>
      </c>
      <c r="E25" s="1">
        <v>27.3</v>
      </c>
      <c r="F25" s="1">
        <v>3.39</v>
      </c>
      <c r="G25">
        <v>4979200</v>
      </c>
      <c r="H25">
        <v>6.51850925306299</v>
      </c>
      <c r="I25">
        <v>50.808999999999997</v>
      </c>
      <c r="J25">
        <v>82.524000000000001</v>
      </c>
      <c r="K25">
        <v>42274.23</v>
      </c>
      <c r="L25">
        <f t="shared" si="0"/>
        <v>2755.6495942111305</v>
      </c>
    </row>
    <row r="26" spans="1:12" x14ac:dyDescent="0.3">
      <c r="A26" t="s">
        <v>17</v>
      </c>
      <c r="B26" t="s">
        <v>18</v>
      </c>
      <c r="C26" t="s">
        <v>19</v>
      </c>
      <c r="D26">
        <v>2019</v>
      </c>
      <c r="E26" s="2">
        <v>44.9</v>
      </c>
      <c r="F26" s="1">
        <v>3.2240000000000002</v>
      </c>
      <c r="G26">
        <v>2088385</v>
      </c>
      <c r="H26">
        <v>6.7091503743004601</v>
      </c>
      <c r="I26">
        <v>38.484000000000002</v>
      </c>
      <c r="J26">
        <v>87.421999999999997</v>
      </c>
      <c r="K26">
        <v>26138.959999999999</v>
      </c>
      <c r="L26">
        <f t="shared" si="0"/>
        <v>1753.7021326782476</v>
      </c>
    </row>
    <row r="27" spans="1:12" x14ac:dyDescent="0.3">
      <c r="A27" t="s">
        <v>122</v>
      </c>
      <c r="B27" t="s">
        <v>123</v>
      </c>
      <c r="C27" t="s">
        <v>124</v>
      </c>
      <c r="D27">
        <v>2019</v>
      </c>
      <c r="E27" s="1">
        <v>31.7</v>
      </c>
      <c r="F27" s="1">
        <v>4.0510000000000002</v>
      </c>
      <c r="G27">
        <v>59729081</v>
      </c>
      <c r="H27">
        <v>6.77929367368285</v>
      </c>
      <c r="I27">
        <v>35.533999999999999</v>
      </c>
      <c r="J27">
        <v>61.476999999999997</v>
      </c>
      <c r="K27">
        <v>33628.160000000003</v>
      </c>
      <c r="L27">
        <f t="shared" si="0"/>
        <v>2279.7517234559468</v>
      </c>
    </row>
    <row r="28" spans="1:12" x14ac:dyDescent="0.3">
      <c r="A28" t="s">
        <v>104</v>
      </c>
      <c r="B28" t="s">
        <v>105</v>
      </c>
      <c r="C28" t="s">
        <v>106</v>
      </c>
      <c r="D28">
        <v>2019</v>
      </c>
      <c r="E28" s="1">
        <v>38.4</v>
      </c>
      <c r="F28" s="1">
        <v>3.827</v>
      </c>
      <c r="G28">
        <v>25334826</v>
      </c>
      <c r="H28">
        <v>6.9841191749641798</v>
      </c>
      <c r="I28">
        <v>42.390999999999998</v>
      </c>
      <c r="J28">
        <v>75.192999999999998</v>
      </c>
      <c r="K28">
        <v>54395.69</v>
      </c>
      <c r="L28">
        <f t="shared" si="0"/>
        <v>3799.0598156440728</v>
      </c>
    </row>
    <row r="29" spans="1:12" x14ac:dyDescent="0.3">
      <c r="A29" t="s">
        <v>119</v>
      </c>
      <c r="B29" t="s">
        <v>120</v>
      </c>
      <c r="C29" t="s">
        <v>121</v>
      </c>
      <c r="D29">
        <v>2019</v>
      </c>
      <c r="E29" s="1">
        <v>23.4</v>
      </c>
      <c r="F29" s="1">
        <v>4.2910000000000004</v>
      </c>
      <c r="G29">
        <v>10278887</v>
      </c>
      <c r="H29">
        <v>7.1345597834325298</v>
      </c>
      <c r="I29">
        <v>37.732999999999997</v>
      </c>
      <c r="J29">
        <v>58.136000000000003</v>
      </c>
      <c r="K29">
        <v>51694.5</v>
      </c>
      <c r="L29">
        <f t="shared" si="0"/>
        <v>3688.1750072465288</v>
      </c>
    </row>
    <row r="30" spans="1:12" x14ac:dyDescent="0.3">
      <c r="A30" t="s">
        <v>38</v>
      </c>
      <c r="B30" t="s">
        <v>39</v>
      </c>
      <c r="C30" t="s">
        <v>40</v>
      </c>
      <c r="D30">
        <v>2019</v>
      </c>
      <c r="E30" s="1">
        <v>39.700000000000003</v>
      </c>
      <c r="F30" s="1">
        <v>3.5670000000000002</v>
      </c>
      <c r="G30">
        <v>5521606</v>
      </c>
      <c r="H30">
        <v>7.1350549074869303</v>
      </c>
      <c r="I30">
        <v>43.305999999999997</v>
      </c>
      <c r="J30">
        <v>87.745999999999995</v>
      </c>
      <c r="K30">
        <v>48667.72</v>
      </c>
      <c r="L30">
        <f t="shared" si="0"/>
        <v>3472.4685442219984</v>
      </c>
    </row>
    <row r="31" spans="1:12" x14ac:dyDescent="0.3">
      <c r="A31" t="s">
        <v>83</v>
      </c>
      <c r="B31" t="s">
        <v>84</v>
      </c>
      <c r="C31" t="s">
        <v>85</v>
      </c>
      <c r="D31">
        <v>2019</v>
      </c>
      <c r="E31" s="2">
        <v>54.9</v>
      </c>
      <c r="F31" s="1">
        <v>6.931</v>
      </c>
      <c r="G31">
        <v>3949390</v>
      </c>
      <c r="H31">
        <v>7.2031920668813996</v>
      </c>
      <c r="I31">
        <v>42.734000000000002</v>
      </c>
      <c r="J31">
        <v>99.528000000000006</v>
      </c>
      <c r="K31">
        <v>15122.97</v>
      </c>
      <c r="L31">
        <f t="shared" si="0"/>
        <v>1089.3365753168539</v>
      </c>
    </row>
    <row r="32" spans="1:12" x14ac:dyDescent="0.3">
      <c r="A32" t="s">
        <v>20</v>
      </c>
      <c r="B32" t="s">
        <v>21</v>
      </c>
      <c r="C32" t="s">
        <v>22</v>
      </c>
      <c r="D32">
        <v>2019</v>
      </c>
      <c r="E32" s="1">
        <v>34.1</v>
      </c>
      <c r="F32" s="1">
        <v>3.7509999999999999</v>
      </c>
      <c r="G32">
        <v>17344874</v>
      </c>
      <c r="H32">
        <v>7.3595267232844002</v>
      </c>
      <c r="I32">
        <v>45.048999999999999</v>
      </c>
      <c r="J32">
        <v>62.374000000000002</v>
      </c>
      <c r="K32">
        <v>52672.5</v>
      </c>
      <c r="L32">
        <f t="shared" si="0"/>
        <v>3876.4467133219755</v>
      </c>
    </row>
    <row r="33" spans="1:12" x14ac:dyDescent="0.3">
      <c r="A33" t="s">
        <v>56</v>
      </c>
      <c r="B33" t="s">
        <v>57</v>
      </c>
      <c r="C33" t="s">
        <v>58</v>
      </c>
      <c r="D33">
        <v>2019</v>
      </c>
      <c r="E33" s="1">
        <v>25.4</v>
      </c>
      <c r="F33" s="1">
        <v>2.9420000000000002</v>
      </c>
      <c r="G33">
        <v>66631000</v>
      </c>
      <c r="H33">
        <v>7.6439139969587098</v>
      </c>
      <c r="I33">
        <v>53.704999999999998</v>
      </c>
      <c r="J33">
        <v>85.251999999999995</v>
      </c>
      <c r="K33">
        <v>42712.61</v>
      </c>
      <c r="L33">
        <f t="shared" si="0"/>
        <v>3264.9151742563859</v>
      </c>
    </row>
    <row r="34" spans="1:12" x14ac:dyDescent="0.3">
      <c r="A34" t="s">
        <v>23</v>
      </c>
      <c r="B34" t="s">
        <v>24</v>
      </c>
      <c r="C34" t="s">
        <v>25</v>
      </c>
      <c r="D34">
        <v>2019</v>
      </c>
      <c r="E34" s="1">
        <v>131.1</v>
      </c>
      <c r="F34" s="1" t="e">
        <v>#N/A</v>
      </c>
      <c r="G34">
        <v>126633000</v>
      </c>
      <c r="H34">
        <v>7.7112133855065403</v>
      </c>
      <c r="I34">
        <v>35.482999999999997</v>
      </c>
      <c r="J34">
        <v>64.375</v>
      </c>
      <c r="K34">
        <v>40547.97</v>
      </c>
      <c r="L34">
        <f t="shared" si="0"/>
        <v>3126.7404901911768</v>
      </c>
    </row>
    <row r="35" spans="1:12" x14ac:dyDescent="0.3">
      <c r="A35" t="s">
        <v>65</v>
      </c>
      <c r="B35" t="s">
        <v>66</v>
      </c>
      <c r="C35" t="s">
        <v>67</v>
      </c>
      <c r="D35">
        <v>2019</v>
      </c>
      <c r="E35" s="1">
        <v>30.6</v>
      </c>
      <c r="F35" s="1">
        <v>3.891</v>
      </c>
      <c r="G35">
        <v>360563</v>
      </c>
      <c r="H35">
        <v>7.8365237426948502</v>
      </c>
      <c r="I35">
        <v>45.372</v>
      </c>
      <c r="J35">
        <v>64.222999999999999</v>
      </c>
      <c r="K35">
        <v>69137.16</v>
      </c>
      <c r="L35">
        <f t="shared" si="0"/>
        <v>5417.949958424927</v>
      </c>
    </row>
    <row r="36" spans="1:12" x14ac:dyDescent="0.3">
      <c r="A36" t="s">
        <v>41</v>
      </c>
      <c r="B36" t="s">
        <v>42</v>
      </c>
      <c r="C36" t="s">
        <v>43</v>
      </c>
      <c r="D36">
        <v>2019</v>
      </c>
      <c r="E36" s="1">
        <v>60.6</v>
      </c>
      <c r="F36" s="1">
        <v>3.31</v>
      </c>
      <c r="G36">
        <v>67382061</v>
      </c>
      <c r="H36">
        <v>7.9592309759254398</v>
      </c>
      <c r="I36">
        <v>47.023000000000003</v>
      </c>
      <c r="J36">
        <v>91.760999999999996</v>
      </c>
      <c r="K36">
        <v>41924.839999999997</v>
      </c>
      <c r="L36">
        <f t="shared" si="0"/>
        <v>3336.8948518871789</v>
      </c>
    </row>
    <row r="37" spans="1:12" x14ac:dyDescent="0.3">
      <c r="A37" t="s">
        <v>8</v>
      </c>
      <c r="B37" t="s">
        <v>9</v>
      </c>
      <c r="C37" t="s">
        <v>10</v>
      </c>
      <c r="D37">
        <v>2019</v>
      </c>
      <c r="E37" s="1">
        <v>25.3</v>
      </c>
      <c r="F37" s="1">
        <v>2.4350000000000001</v>
      </c>
      <c r="G37">
        <v>37618495</v>
      </c>
      <c r="H37">
        <v>8.1340771787930599</v>
      </c>
      <c r="I37">
        <v>49.767000000000003</v>
      </c>
      <c r="J37">
        <v>82.635999999999996</v>
      </c>
      <c r="K37">
        <v>46430.98</v>
      </c>
      <c r="L37">
        <f t="shared" si="0"/>
        <v>3776.7317480699699</v>
      </c>
    </row>
    <row r="38" spans="1:12" x14ac:dyDescent="0.3">
      <c r="A38" t="s">
        <v>86</v>
      </c>
      <c r="B38" t="s">
        <v>87</v>
      </c>
      <c r="C38" t="s">
        <v>88</v>
      </c>
      <c r="D38">
        <v>2019</v>
      </c>
      <c r="E38" s="1">
        <v>74.2</v>
      </c>
      <c r="F38" s="1">
        <v>5.2910000000000004</v>
      </c>
      <c r="G38">
        <v>8879920</v>
      </c>
      <c r="H38">
        <v>8.3020829556396194</v>
      </c>
      <c r="I38">
        <v>40.951999999999998</v>
      </c>
      <c r="J38">
        <v>75.489000000000004</v>
      </c>
      <c r="K38">
        <v>50192.49</v>
      </c>
      <c r="L38">
        <f t="shared" si="0"/>
        <v>4167.0221573011204</v>
      </c>
    </row>
    <row r="39" spans="1:12" x14ac:dyDescent="0.3">
      <c r="A39" t="s">
        <v>32</v>
      </c>
      <c r="B39" t="s">
        <v>33</v>
      </c>
      <c r="C39" t="s">
        <v>34</v>
      </c>
      <c r="D39">
        <v>2019</v>
      </c>
      <c r="E39" s="1">
        <v>26.1</v>
      </c>
      <c r="F39" s="1">
        <v>4.2649999999999997</v>
      </c>
      <c r="G39">
        <v>5814422</v>
      </c>
      <c r="H39">
        <v>8.4051002827268402</v>
      </c>
      <c r="I39">
        <v>43.817</v>
      </c>
      <c r="J39">
        <v>73.629000000000005</v>
      </c>
      <c r="K39">
        <v>59678.6</v>
      </c>
      <c r="L39">
        <f t="shared" si="0"/>
        <v>5016.0461773274201</v>
      </c>
    </row>
    <row r="40" spans="1:12" x14ac:dyDescent="0.3">
      <c r="A40" t="s">
        <v>59</v>
      </c>
      <c r="B40" t="s">
        <v>60</v>
      </c>
      <c r="C40" t="s">
        <v>61</v>
      </c>
      <c r="D40">
        <v>2019</v>
      </c>
      <c r="E40" s="1">
        <v>27.7</v>
      </c>
      <c r="F40" s="1">
        <v>3.5179999999999998</v>
      </c>
      <c r="G40">
        <v>330226227</v>
      </c>
      <c r="H40">
        <v>9.4920305153557507</v>
      </c>
      <c r="I40">
        <v>79.454999999999998</v>
      </c>
      <c r="J40">
        <v>136.83000000000001</v>
      </c>
      <c r="K40">
        <v>65504.78</v>
      </c>
      <c r="L40">
        <f t="shared" si="0"/>
        <v>6217.733706616651</v>
      </c>
    </row>
  </sheetData>
  <sortState xmlns:xlrd2="http://schemas.microsoft.com/office/spreadsheetml/2017/richdata2" ref="A2:K40">
    <sortCondition ref="D2:D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compilada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clopezd</dc:creator>
  <cp:lastModifiedBy>clopezd</cp:lastModifiedBy>
  <dcterms:created xsi:type="dcterms:W3CDTF">2025-11-21T03:17:58Z</dcterms:created>
  <dcterms:modified xsi:type="dcterms:W3CDTF">2025-11-21T03:31:07Z</dcterms:modified>
</cp:coreProperties>
</file>